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showInkAnnotation="0" autoCompressPictures="0"/>
  <bookViews>
    <workbookView xWindow="0" yWindow="0" windowWidth="28800" windowHeight="11835" tabRatio="500"/>
  </bookViews>
  <sheets>
    <sheet name="Overview" sheetId="7" r:id="rId1"/>
    <sheet name="Measurement Error" sheetId="1" r:id="rId2"/>
    <sheet name="Modeling Error" sheetId="2" r:id="rId3"/>
    <sheet name="Injection Characteristics" sheetId="3" r:id="rId4"/>
    <sheet name="Time Horizon" sheetId="4" r:id="rId5"/>
    <sheet name="Network Size" sheetId="6" r:id="rId6"/>
    <sheet name="Sensor Placement" sheetId="5" r:id="rId7"/>
  </sheet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7" i="6" l="1"/>
  <c r="G7" i="6"/>
  <c r="B7" i="6"/>
  <c r="L6" i="6"/>
  <c r="G6" i="6"/>
  <c r="B6" i="6"/>
  <c r="L5" i="6"/>
  <c r="G5" i="6"/>
  <c r="B5" i="6"/>
</calcChain>
</file>

<file path=xl/sharedStrings.xml><?xml version="1.0" encoding="utf-8"?>
<sst xmlns="http://schemas.openxmlformats.org/spreadsheetml/2006/main" count="156" uniqueCount="59">
  <si>
    <t>Contaminant Status Algorithm</t>
  </si>
  <si>
    <t>Accuracy</t>
  </si>
  <si>
    <t>Specificity</t>
  </si>
  <si>
    <t>Probability Based Method</t>
  </si>
  <si>
    <t>Optimization Method</t>
  </si>
  <si>
    <t>False Negative Rate</t>
  </si>
  <si>
    <t>False Positive Rate</t>
  </si>
  <si>
    <t>Mean Accuracy</t>
  </si>
  <si>
    <t>Mean Specificity</t>
  </si>
  <si>
    <t>Demand Error (%)</t>
  </si>
  <si>
    <t>Number of Simultaneous Injections</t>
  </si>
  <si>
    <t>Number of Injections</t>
  </si>
  <si>
    <t>100, 1</t>
  </si>
  <si>
    <t>95, 80</t>
  </si>
  <si>
    <t>1, 1, 1</t>
  </si>
  <si>
    <t>90, 70, 60</t>
  </si>
  <si>
    <t>100, 100</t>
  </si>
  <si>
    <t>100, 100, 100</t>
  </si>
  <si>
    <t>75, 75</t>
  </si>
  <si>
    <t>30, 30, 30</t>
  </si>
  <si>
    <t>100, 60</t>
  </si>
  <si>
    <t>100, 70, 40</t>
  </si>
  <si>
    <t>95, 80, 78</t>
  </si>
  <si>
    <t>Injection Length</t>
  </si>
  <si>
    <t>Time Horizon (hours)</t>
  </si>
  <si>
    <t>Sensor Density (%)</t>
  </si>
  <si>
    <t>Optimal Sensor Placement</t>
  </si>
  <si>
    <t>Random Sensor Placement</t>
  </si>
  <si>
    <t>Accuracy is 100% for all tests</t>
  </si>
  <si>
    <t>Net3(97)</t>
  </si>
  <si>
    <t>Network2(3,358)</t>
  </si>
  <si>
    <t>BWSN2(12,523)</t>
  </si>
  <si>
    <t>Optimization Based Method</t>
  </si>
  <si>
    <t xml:space="preserve">Raw data for </t>
  </si>
  <si>
    <t>Data used for Figures 1 and 2</t>
  </si>
  <si>
    <t>Data used for Figure 4</t>
  </si>
  <si>
    <t xml:space="preserve">Number of nodes with higher or equal likeliness to the true injection node </t>
  </si>
  <si>
    <t>Accuracy Standard Deviation</t>
  </si>
  <si>
    <t>Specificity Standard Deviation</t>
  </si>
  <si>
    <t>Network Name (Number of Nodes)</t>
  </si>
  <si>
    <t>Measurement Error</t>
  </si>
  <si>
    <t>Modeling Error</t>
  </si>
  <si>
    <t>Injection Characteristics</t>
  </si>
  <si>
    <t>Time Horizon</t>
  </si>
  <si>
    <t>Network Size</t>
  </si>
  <si>
    <t>Data used for Tables S4-S6 (supplemental data)</t>
  </si>
  <si>
    <t>Data used for Tables S1–S3 (supplemental data)</t>
  </si>
  <si>
    <t>Sensor Placement</t>
  </si>
  <si>
    <t xml:space="preserve">Data used for Figure 3 </t>
  </si>
  <si>
    <t>Data used for Figures 5 and 6</t>
  </si>
  <si>
    <t>These subsections match the worksheet tabs below, which have the data discussed either in the text or tables/graphics associated with those subsections.</t>
  </si>
  <si>
    <t>Injection Length (minutes)</t>
  </si>
  <si>
    <t>The paper has the following subsections in the Discussion of Test Results section of the paper:</t>
  </si>
  <si>
    <r>
      <t>Seth, A., Klise, K., Siirola, J., Haxton, T., and Laird, C. (2016). "Testing Contamination Source Identification Methods for Water Distribution Networks." </t>
    </r>
    <r>
      <rPr>
        <i/>
        <sz val="12"/>
        <color rgb="FF000000"/>
        <rFont val="Calibri"/>
        <family val="2"/>
        <scheme val="minor"/>
      </rPr>
      <t>J. Water Resour. Plann. Manage.</t>
    </r>
    <r>
      <rPr>
        <sz val="12"/>
        <color rgb="FF000000"/>
        <rFont val="Calibri"/>
        <family val="2"/>
        <scheme val="minor"/>
      </rPr>
      <t>, 10.1061/(ASCE)WR.1943-5452.0000619, 04016001.</t>
    </r>
  </si>
  <si>
    <t>EPANET Net3.inp</t>
  </si>
  <si>
    <t>Network2.inp</t>
  </si>
  <si>
    <t>BWSN_Network_2.inp</t>
  </si>
  <si>
    <t xml:space="preserve">The EPANET input (.inp) files for the water distribution network models used in this paper are included as part of this dataset. </t>
  </si>
  <si>
    <t>The data in the worksheet tabs were created using the Water Security Toolkit (U.S. EPA. (2014). “Water security toolkit user manual: Version 1.1.” Rep. No. EPA/600/R-13/353, U.S. Environmental Protection Agency, Office of Research and Development, Washington, DC.), the network files, and the specifications listed in the paper.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</si>
</sst>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theme="1"/>
      <name val="Calibri"/>
      <scheme val="minor"/>
    </font>
    <font>
      <sz val="12"/>
      <color theme="1"/>
      <name val="CMR12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1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/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8" fillId="0" borderId="0" xfId="0" applyFont="1" applyAlignment="1">
      <alignment wrapText="1"/>
    </xf>
  </cellXfs>
  <cellStyles count="10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zoomScale="120" zoomScaleNormal="120" workbookViewId="0"/>
  </sheetViews>
  <sheetFormatPr defaultRowHeight="15.75"/>
  <cols>
    <col min="1" max="1" width="12.375" bestFit="1" customWidth="1"/>
  </cols>
  <sheetData>
    <row r="1" spans="1:12">
      <c r="A1" s="12" t="s">
        <v>33</v>
      </c>
    </row>
    <row r="2" spans="1:12" ht="34.5" customHeight="1">
      <c r="A2" s="14" t="s">
        <v>53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2">
      <c r="A4" t="s">
        <v>52</v>
      </c>
    </row>
    <row r="6" spans="1:12">
      <c r="A6" t="s">
        <v>40</v>
      </c>
    </row>
    <row r="7" spans="1:12">
      <c r="A7" t="s">
        <v>41</v>
      </c>
    </row>
    <row r="8" spans="1:12">
      <c r="A8" t="s">
        <v>42</v>
      </c>
    </row>
    <row r="9" spans="1:12">
      <c r="A9" t="s">
        <v>43</v>
      </c>
    </row>
    <row r="10" spans="1:12">
      <c r="A10" t="s">
        <v>44</v>
      </c>
    </row>
    <row r="11" spans="1:12">
      <c r="A11" t="s">
        <v>47</v>
      </c>
    </row>
    <row r="13" spans="1:12">
      <c r="A13" t="s">
        <v>50</v>
      </c>
    </row>
    <row r="15" spans="1:12">
      <c r="A15" t="s">
        <v>57</v>
      </c>
    </row>
    <row r="16" spans="1:12">
      <c r="A16" s="12" t="s">
        <v>54</v>
      </c>
    </row>
    <row r="17" spans="1:12">
      <c r="A17" t="s">
        <v>55</v>
      </c>
    </row>
    <row r="18" spans="1:12">
      <c r="A18" t="s">
        <v>56</v>
      </c>
    </row>
    <row r="20" spans="1:12" ht="48.75" customHeight="1">
      <c r="A20" s="11" t="s">
        <v>58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3" spans="1:12">
      <c r="A23" s="12"/>
    </row>
  </sheetData>
  <mergeCells count="2">
    <mergeCell ref="A2:L2"/>
    <mergeCell ref="A20:L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zoomScale="120" zoomScaleNormal="120" zoomScalePageLayoutView="150" workbookViewId="0"/>
  </sheetViews>
  <sheetFormatPr defaultColWidth="11" defaultRowHeight="15.75"/>
  <cols>
    <col min="1" max="1" width="7.5" customWidth="1"/>
    <col min="2" max="2" width="8.125" customWidth="1"/>
    <col min="3" max="3" width="8.125" bestFit="1" customWidth="1"/>
    <col min="4" max="4" width="9.125" bestFit="1" customWidth="1"/>
    <col min="5" max="5" width="7.5" customWidth="1"/>
    <col min="6" max="6" width="7.375" customWidth="1"/>
    <col min="7" max="7" width="8" customWidth="1"/>
    <col min="8" max="8" width="8.125" bestFit="1" customWidth="1"/>
    <col min="9" max="9" width="9.125" bestFit="1" customWidth="1"/>
    <col min="10" max="10" width="7.5" customWidth="1"/>
    <col min="11" max="11" width="7.25" customWidth="1"/>
    <col min="12" max="12" width="8.125" customWidth="1"/>
    <col min="13" max="13" width="8.125" bestFit="1" customWidth="1"/>
    <col min="14" max="14" width="9.125" bestFit="1" customWidth="1"/>
  </cols>
  <sheetData>
    <row r="1" spans="1:14">
      <c r="A1" t="s">
        <v>34</v>
      </c>
    </row>
    <row r="3" spans="1:14">
      <c r="A3" s="5" t="s">
        <v>3</v>
      </c>
      <c r="B3" s="5"/>
      <c r="C3" s="5"/>
      <c r="D3" s="5"/>
      <c r="F3" s="5" t="s">
        <v>0</v>
      </c>
      <c r="G3" s="5"/>
      <c r="H3" s="5"/>
      <c r="I3" s="5"/>
      <c r="K3" s="5" t="s">
        <v>4</v>
      </c>
      <c r="L3" s="5"/>
      <c r="M3" s="5"/>
      <c r="N3" s="5"/>
    </row>
    <row r="4" spans="1:14" s="6" customFormat="1" ht="47.25">
      <c r="A4" s="6" t="s">
        <v>6</v>
      </c>
      <c r="B4" s="6" t="s">
        <v>5</v>
      </c>
      <c r="C4" s="6" t="s">
        <v>1</v>
      </c>
      <c r="D4" s="6" t="s">
        <v>2</v>
      </c>
      <c r="F4" s="6" t="s">
        <v>6</v>
      </c>
      <c r="G4" s="6" t="s">
        <v>5</v>
      </c>
      <c r="H4" s="6" t="s">
        <v>1</v>
      </c>
      <c r="I4" s="6" t="s">
        <v>2</v>
      </c>
      <c r="K4" s="6" t="s">
        <v>6</v>
      </c>
      <c r="L4" s="6" t="s">
        <v>5</v>
      </c>
      <c r="M4" s="6" t="s">
        <v>1</v>
      </c>
      <c r="N4" s="6" t="s">
        <v>2</v>
      </c>
    </row>
    <row r="5" spans="1:14">
      <c r="A5">
        <v>0</v>
      </c>
      <c r="B5">
        <v>0</v>
      </c>
      <c r="C5">
        <v>100</v>
      </c>
      <c r="D5">
        <v>90</v>
      </c>
      <c r="F5">
        <v>0</v>
      </c>
      <c r="G5">
        <v>0</v>
      </c>
      <c r="H5">
        <v>100</v>
      </c>
      <c r="I5">
        <v>64</v>
      </c>
      <c r="K5">
        <v>0</v>
      </c>
      <c r="L5">
        <v>0</v>
      </c>
      <c r="M5">
        <v>100</v>
      </c>
      <c r="N5">
        <v>90</v>
      </c>
    </row>
    <row r="6" spans="1:14">
      <c r="A6">
        <v>0</v>
      </c>
      <c r="B6">
        <v>0.1</v>
      </c>
      <c r="C6">
        <v>100</v>
      </c>
      <c r="D6">
        <v>90</v>
      </c>
      <c r="F6">
        <v>0</v>
      </c>
      <c r="G6">
        <v>0.1</v>
      </c>
      <c r="H6">
        <v>100</v>
      </c>
      <c r="I6">
        <v>64</v>
      </c>
      <c r="K6">
        <v>0</v>
      </c>
      <c r="L6">
        <v>0.1</v>
      </c>
      <c r="M6">
        <v>88</v>
      </c>
      <c r="N6">
        <v>91</v>
      </c>
    </row>
    <row r="7" spans="1:14">
      <c r="A7">
        <v>0</v>
      </c>
      <c r="B7">
        <v>0.2</v>
      </c>
      <c r="C7">
        <v>100</v>
      </c>
      <c r="D7">
        <v>90</v>
      </c>
      <c r="F7">
        <v>0</v>
      </c>
      <c r="G7">
        <v>0.2</v>
      </c>
      <c r="H7">
        <v>100</v>
      </c>
      <c r="I7">
        <v>65</v>
      </c>
      <c r="K7">
        <v>0</v>
      </c>
      <c r="L7">
        <v>0.2</v>
      </c>
      <c r="M7">
        <v>77</v>
      </c>
      <c r="N7">
        <v>88</v>
      </c>
    </row>
    <row r="8" spans="1:14">
      <c r="A8">
        <v>0</v>
      </c>
      <c r="B8">
        <v>0.3</v>
      </c>
      <c r="C8">
        <v>99</v>
      </c>
      <c r="D8">
        <v>90</v>
      </c>
      <c r="F8">
        <v>0</v>
      </c>
      <c r="G8">
        <v>0.3</v>
      </c>
      <c r="H8">
        <v>100</v>
      </c>
      <c r="I8">
        <v>66</v>
      </c>
      <c r="K8">
        <v>0</v>
      </c>
      <c r="L8">
        <v>0.3</v>
      </c>
      <c r="M8">
        <v>74</v>
      </c>
      <c r="N8">
        <v>88</v>
      </c>
    </row>
    <row r="9" spans="1:14">
      <c r="A9">
        <v>0</v>
      </c>
      <c r="B9">
        <v>0.4</v>
      </c>
      <c r="C9">
        <v>93</v>
      </c>
      <c r="D9">
        <v>89</v>
      </c>
      <c r="F9">
        <v>0</v>
      </c>
      <c r="G9">
        <v>0.4</v>
      </c>
      <c r="H9">
        <v>100</v>
      </c>
      <c r="I9">
        <v>67</v>
      </c>
      <c r="K9">
        <v>0</v>
      </c>
      <c r="L9">
        <v>0.4</v>
      </c>
      <c r="M9">
        <v>70</v>
      </c>
      <c r="N9">
        <v>85</v>
      </c>
    </row>
    <row r="10" spans="1:14">
      <c r="A10">
        <v>0.1</v>
      </c>
      <c r="B10">
        <v>0</v>
      </c>
      <c r="C10">
        <v>96</v>
      </c>
      <c r="D10">
        <v>90</v>
      </c>
      <c r="F10">
        <v>0.1</v>
      </c>
      <c r="G10">
        <v>0</v>
      </c>
      <c r="H10">
        <v>100</v>
      </c>
      <c r="I10">
        <v>35</v>
      </c>
      <c r="K10">
        <v>0.1</v>
      </c>
      <c r="L10">
        <v>0</v>
      </c>
      <c r="M10">
        <v>100</v>
      </c>
      <c r="N10">
        <v>92</v>
      </c>
    </row>
    <row r="11" spans="1:14">
      <c r="A11">
        <v>0.1</v>
      </c>
      <c r="B11">
        <v>0.1</v>
      </c>
      <c r="C11">
        <v>95</v>
      </c>
      <c r="D11">
        <v>90</v>
      </c>
      <c r="F11">
        <v>0.1</v>
      </c>
      <c r="G11">
        <v>0.1</v>
      </c>
      <c r="H11">
        <v>100</v>
      </c>
      <c r="I11">
        <v>35</v>
      </c>
      <c r="K11">
        <v>0.1</v>
      </c>
      <c r="L11">
        <v>0.1</v>
      </c>
      <c r="M11">
        <v>88</v>
      </c>
      <c r="N11">
        <v>91</v>
      </c>
    </row>
    <row r="12" spans="1:14">
      <c r="A12">
        <v>0.1</v>
      </c>
      <c r="B12">
        <v>0.2</v>
      </c>
      <c r="C12">
        <v>95</v>
      </c>
      <c r="D12">
        <v>90</v>
      </c>
      <c r="F12">
        <v>0.1</v>
      </c>
      <c r="G12">
        <v>0.2</v>
      </c>
      <c r="H12">
        <v>100</v>
      </c>
      <c r="I12">
        <v>36</v>
      </c>
      <c r="K12">
        <v>0.1</v>
      </c>
      <c r="L12">
        <v>0.2</v>
      </c>
      <c r="M12">
        <v>76</v>
      </c>
      <c r="N12">
        <v>87</v>
      </c>
    </row>
    <row r="13" spans="1:14">
      <c r="A13">
        <v>0.1</v>
      </c>
      <c r="B13">
        <v>0.3</v>
      </c>
      <c r="C13">
        <v>95</v>
      </c>
      <c r="D13">
        <v>90</v>
      </c>
      <c r="F13">
        <v>0.1</v>
      </c>
      <c r="G13">
        <v>0.3</v>
      </c>
      <c r="H13">
        <v>100</v>
      </c>
      <c r="I13">
        <v>36</v>
      </c>
      <c r="K13">
        <v>0.1</v>
      </c>
      <c r="L13">
        <v>0.3</v>
      </c>
      <c r="M13">
        <v>74</v>
      </c>
      <c r="N13">
        <v>87</v>
      </c>
    </row>
    <row r="14" spans="1:14">
      <c r="A14">
        <v>0.1</v>
      </c>
      <c r="B14">
        <v>0.4</v>
      </c>
      <c r="C14">
        <v>89</v>
      </c>
      <c r="D14">
        <v>89</v>
      </c>
      <c r="F14">
        <v>0.1</v>
      </c>
      <c r="G14">
        <v>0.4</v>
      </c>
      <c r="H14">
        <v>100</v>
      </c>
      <c r="I14">
        <v>37</v>
      </c>
      <c r="K14">
        <v>0.1</v>
      </c>
      <c r="L14">
        <v>0.4</v>
      </c>
      <c r="M14">
        <v>70</v>
      </c>
      <c r="N14">
        <v>85</v>
      </c>
    </row>
    <row r="15" spans="1:14">
      <c r="A15">
        <v>0.2</v>
      </c>
      <c r="B15">
        <v>0</v>
      </c>
      <c r="C15">
        <v>89</v>
      </c>
      <c r="D15">
        <v>90</v>
      </c>
      <c r="F15">
        <v>0.2</v>
      </c>
      <c r="G15">
        <v>0</v>
      </c>
      <c r="H15">
        <v>100</v>
      </c>
      <c r="I15">
        <v>27</v>
      </c>
      <c r="K15">
        <v>0.2</v>
      </c>
      <c r="L15">
        <v>0</v>
      </c>
      <c r="M15">
        <v>100</v>
      </c>
      <c r="N15">
        <v>95</v>
      </c>
    </row>
    <row r="16" spans="1:14">
      <c r="A16">
        <v>0.2</v>
      </c>
      <c r="B16">
        <v>0.1</v>
      </c>
      <c r="C16">
        <v>89</v>
      </c>
      <c r="D16">
        <v>90</v>
      </c>
      <c r="F16">
        <v>0.2</v>
      </c>
      <c r="G16">
        <v>0.1</v>
      </c>
      <c r="H16">
        <v>100</v>
      </c>
      <c r="I16">
        <v>27</v>
      </c>
      <c r="K16">
        <v>0.2</v>
      </c>
      <c r="L16">
        <v>0.1</v>
      </c>
      <c r="M16">
        <v>88</v>
      </c>
      <c r="N16">
        <v>92</v>
      </c>
    </row>
    <row r="17" spans="1:14">
      <c r="A17">
        <v>0.2</v>
      </c>
      <c r="B17">
        <v>0.2</v>
      </c>
      <c r="C17">
        <v>90</v>
      </c>
      <c r="D17">
        <v>90</v>
      </c>
      <c r="F17">
        <v>0.2</v>
      </c>
      <c r="G17">
        <v>0.2</v>
      </c>
      <c r="H17">
        <v>100</v>
      </c>
      <c r="I17">
        <v>27</v>
      </c>
      <c r="K17">
        <v>0.2</v>
      </c>
      <c r="L17">
        <v>0.2</v>
      </c>
      <c r="M17">
        <v>76</v>
      </c>
      <c r="N17">
        <v>87</v>
      </c>
    </row>
    <row r="18" spans="1:14">
      <c r="A18">
        <v>0.2</v>
      </c>
      <c r="B18">
        <v>0.3</v>
      </c>
      <c r="C18">
        <v>89</v>
      </c>
      <c r="D18">
        <v>90</v>
      </c>
      <c r="F18">
        <v>0.2</v>
      </c>
      <c r="G18">
        <v>0.3</v>
      </c>
      <c r="H18">
        <v>100</v>
      </c>
      <c r="I18">
        <v>28</v>
      </c>
      <c r="K18">
        <v>0.2</v>
      </c>
      <c r="L18">
        <v>0.3</v>
      </c>
      <c r="M18">
        <v>73</v>
      </c>
      <c r="N18">
        <v>86</v>
      </c>
    </row>
    <row r="19" spans="1:14">
      <c r="A19">
        <v>0.2</v>
      </c>
      <c r="B19">
        <v>0.4</v>
      </c>
      <c r="C19">
        <v>84</v>
      </c>
      <c r="D19">
        <v>89</v>
      </c>
      <c r="F19">
        <v>0.2</v>
      </c>
      <c r="G19">
        <v>0.4</v>
      </c>
      <c r="H19">
        <v>100</v>
      </c>
      <c r="I19">
        <v>28</v>
      </c>
      <c r="K19">
        <v>0.2</v>
      </c>
      <c r="L19">
        <v>0.4</v>
      </c>
      <c r="M19">
        <v>68</v>
      </c>
      <c r="N19">
        <v>84</v>
      </c>
    </row>
    <row r="20" spans="1:14">
      <c r="A20">
        <v>0.3</v>
      </c>
      <c r="B20">
        <v>0</v>
      </c>
      <c r="C20">
        <v>80</v>
      </c>
      <c r="D20">
        <v>90</v>
      </c>
      <c r="F20">
        <v>0.3</v>
      </c>
      <c r="G20">
        <v>0</v>
      </c>
      <c r="H20">
        <v>100</v>
      </c>
      <c r="I20">
        <v>22</v>
      </c>
      <c r="K20">
        <v>0.3</v>
      </c>
      <c r="L20">
        <v>0</v>
      </c>
      <c r="M20">
        <v>99</v>
      </c>
      <c r="N20">
        <v>95</v>
      </c>
    </row>
    <row r="21" spans="1:14">
      <c r="A21">
        <v>0.3</v>
      </c>
      <c r="B21">
        <v>0.1</v>
      </c>
      <c r="C21">
        <v>79</v>
      </c>
      <c r="D21">
        <v>90</v>
      </c>
      <c r="F21">
        <v>0.3</v>
      </c>
      <c r="G21">
        <v>0.1</v>
      </c>
      <c r="H21">
        <v>100</v>
      </c>
      <c r="I21">
        <v>22</v>
      </c>
      <c r="K21">
        <v>0.3</v>
      </c>
      <c r="L21">
        <v>0.1</v>
      </c>
      <c r="M21">
        <v>86</v>
      </c>
      <c r="N21">
        <v>90</v>
      </c>
    </row>
    <row r="22" spans="1:14">
      <c r="A22">
        <v>0.3</v>
      </c>
      <c r="B22">
        <v>0.2</v>
      </c>
      <c r="C22">
        <v>80</v>
      </c>
      <c r="D22">
        <v>89</v>
      </c>
      <c r="F22">
        <v>0.3</v>
      </c>
      <c r="G22">
        <v>0.2</v>
      </c>
      <c r="H22">
        <v>100</v>
      </c>
      <c r="I22">
        <v>22</v>
      </c>
      <c r="K22">
        <v>0.3</v>
      </c>
      <c r="L22">
        <v>0.2</v>
      </c>
      <c r="M22">
        <v>73</v>
      </c>
      <c r="N22">
        <v>85</v>
      </c>
    </row>
    <row r="23" spans="1:14">
      <c r="A23">
        <v>0.3</v>
      </c>
      <c r="B23">
        <v>0.3</v>
      </c>
      <c r="C23">
        <v>77</v>
      </c>
      <c r="D23">
        <v>89</v>
      </c>
      <c r="F23">
        <v>0.3</v>
      </c>
      <c r="G23">
        <v>0.3</v>
      </c>
      <c r="H23">
        <v>100</v>
      </c>
      <c r="I23">
        <v>22</v>
      </c>
      <c r="K23">
        <v>0.3</v>
      </c>
      <c r="L23">
        <v>0.3</v>
      </c>
      <c r="M23">
        <v>70</v>
      </c>
      <c r="N23">
        <v>84</v>
      </c>
    </row>
    <row r="24" spans="1:14">
      <c r="A24">
        <v>0.3</v>
      </c>
      <c r="B24">
        <v>0.4</v>
      </c>
      <c r="C24">
        <v>70</v>
      </c>
      <c r="D24">
        <v>88</v>
      </c>
      <c r="F24">
        <v>0.3</v>
      </c>
      <c r="G24">
        <v>0.4</v>
      </c>
      <c r="H24">
        <v>100</v>
      </c>
      <c r="I24">
        <v>23</v>
      </c>
      <c r="K24">
        <v>0.3</v>
      </c>
      <c r="L24">
        <v>0.4</v>
      </c>
      <c r="M24">
        <v>65</v>
      </c>
      <c r="N24">
        <v>82</v>
      </c>
    </row>
    <row r="25" spans="1:14">
      <c r="A25">
        <v>0.4</v>
      </c>
      <c r="B25">
        <v>0</v>
      </c>
      <c r="C25">
        <v>39</v>
      </c>
      <c r="D25">
        <v>86</v>
      </c>
      <c r="F25">
        <v>0.4</v>
      </c>
      <c r="G25">
        <v>0</v>
      </c>
      <c r="H25">
        <v>100</v>
      </c>
      <c r="I25">
        <v>18</v>
      </c>
      <c r="K25">
        <v>0.4</v>
      </c>
      <c r="L25">
        <v>0</v>
      </c>
      <c r="M25">
        <v>97</v>
      </c>
      <c r="N25">
        <v>96</v>
      </c>
    </row>
    <row r="26" spans="1:14">
      <c r="A26">
        <v>0.4</v>
      </c>
      <c r="B26">
        <v>0.1</v>
      </c>
      <c r="C26">
        <v>39</v>
      </c>
      <c r="D26">
        <v>86</v>
      </c>
      <c r="F26">
        <v>0.4</v>
      </c>
      <c r="G26">
        <v>0.1</v>
      </c>
      <c r="H26">
        <v>100</v>
      </c>
      <c r="I26">
        <v>18</v>
      </c>
      <c r="K26">
        <v>0.4</v>
      </c>
      <c r="L26">
        <v>0.1</v>
      </c>
      <c r="M26">
        <v>82</v>
      </c>
      <c r="N26">
        <v>90</v>
      </c>
    </row>
    <row r="27" spans="1:14">
      <c r="A27">
        <v>0.4</v>
      </c>
      <c r="B27">
        <v>0.2</v>
      </c>
      <c r="C27">
        <v>39</v>
      </c>
      <c r="D27">
        <v>86</v>
      </c>
      <c r="F27">
        <v>0.4</v>
      </c>
      <c r="G27">
        <v>0.2</v>
      </c>
      <c r="H27">
        <v>100</v>
      </c>
      <c r="I27">
        <v>19</v>
      </c>
      <c r="K27">
        <v>0.4</v>
      </c>
      <c r="L27">
        <v>0.2</v>
      </c>
      <c r="M27">
        <v>71</v>
      </c>
      <c r="N27">
        <v>86</v>
      </c>
    </row>
    <row r="28" spans="1:14">
      <c r="A28">
        <v>0.4</v>
      </c>
      <c r="B28">
        <v>0.3</v>
      </c>
      <c r="C28">
        <v>36</v>
      </c>
      <c r="D28">
        <v>84</v>
      </c>
      <c r="F28">
        <v>0.4</v>
      </c>
      <c r="G28">
        <v>0.3</v>
      </c>
      <c r="H28">
        <v>100</v>
      </c>
      <c r="I28">
        <v>19</v>
      </c>
      <c r="K28">
        <v>0.4</v>
      </c>
      <c r="L28">
        <v>0.3</v>
      </c>
      <c r="M28">
        <v>64</v>
      </c>
      <c r="N28">
        <v>81</v>
      </c>
    </row>
    <row r="29" spans="1:14">
      <c r="A29">
        <v>0.4</v>
      </c>
      <c r="B29">
        <v>0.4</v>
      </c>
      <c r="C29">
        <v>30</v>
      </c>
      <c r="D29">
        <v>81</v>
      </c>
      <c r="F29">
        <v>0.4</v>
      </c>
      <c r="G29">
        <v>0.4</v>
      </c>
      <c r="H29">
        <v>100</v>
      </c>
      <c r="I29">
        <v>19</v>
      </c>
      <c r="K29">
        <v>0.4</v>
      </c>
      <c r="L29">
        <v>0.4</v>
      </c>
      <c r="M29">
        <v>57</v>
      </c>
      <c r="N29">
        <v>74</v>
      </c>
    </row>
  </sheetData>
  <mergeCells count="3">
    <mergeCell ref="A3:D3"/>
    <mergeCell ref="F3:I3"/>
    <mergeCell ref="K3:N3"/>
  </mergeCells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zoomScale="120" zoomScaleNormal="120" zoomScalePageLayoutView="150" workbookViewId="0"/>
  </sheetViews>
  <sheetFormatPr defaultColWidth="11" defaultRowHeight="15.75"/>
  <cols>
    <col min="1" max="1" width="7.875" customWidth="1"/>
    <col min="2" max="2" width="8.625" customWidth="1"/>
    <col min="3" max="4" width="9.125" customWidth="1"/>
    <col min="5" max="5" width="9.5" customWidth="1"/>
    <col min="6" max="6" width="7.5" customWidth="1"/>
    <col min="7" max="7" width="7.75" customWidth="1"/>
    <col min="8" max="8" width="8.5" customWidth="1"/>
    <col min="9" max="9" width="9.625" customWidth="1"/>
    <col min="10" max="10" width="9.125" bestFit="1" customWidth="1"/>
    <col min="11" max="11" width="9.125" customWidth="1"/>
    <col min="12" max="12" width="7.5" customWidth="1"/>
    <col min="13" max="13" width="8.25" customWidth="1"/>
    <col min="14" max="14" width="8.375" customWidth="1"/>
    <col min="15" max="15" width="8.875" customWidth="1"/>
    <col min="16" max="16" width="9.125" bestFit="1" customWidth="1"/>
    <col min="17" max="17" width="9.25" customWidth="1"/>
  </cols>
  <sheetData>
    <row r="1" spans="1:17">
      <c r="A1" t="s">
        <v>48</v>
      </c>
    </row>
    <row r="3" spans="1:17">
      <c r="A3" s="5" t="s">
        <v>3</v>
      </c>
      <c r="B3" s="5"/>
      <c r="C3" s="5"/>
      <c r="D3" s="5"/>
      <c r="E3" s="8"/>
      <c r="G3" s="5" t="s">
        <v>0</v>
      </c>
      <c r="H3" s="5"/>
      <c r="I3" s="5"/>
      <c r="J3" s="5"/>
      <c r="K3" s="8"/>
      <c r="M3" s="5" t="s">
        <v>4</v>
      </c>
      <c r="N3" s="5"/>
      <c r="O3" s="5"/>
      <c r="P3" s="5"/>
      <c r="Q3" s="8"/>
    </row>
    <row r="4" spans="1:17" s="6" customFormat="1" ht="47.25">
      <c r="A4" s="6" t="s">
        <v>9</v>
      </c>
      <c r="B4" s="6" t="s">
        <v>7</v>
      </c>
      <c r="C4" s="6" t="s">
        <v>37</v>
      </c>
      <c r="D4" s="6" t="s">
        <v>8</v>
      </c>
      <c r="E4" s="6" t="s">
        <v>38</v>
      </c>
      <c r="G4" s="6" t="s">
        <v>9</v>
      </c>
      <c r="H4" s="6" t="s">
        <v>7</v>
      </c>
      <c r="I4" s="6" t="s">
        <v>37</v>
      </c>
      <c r="J4" s="6" t="s">
        <v>8</v>
      </c>
      <c r="K4" s="6" t="s">
        <v>38</v>
      </c>
      <c r="M4" s="6" t="s">
        <v>9</v>
      </c>
      <c r="N4" s="6" t="s">
        <v>7</v>
      </c>
      <c r="O4" s="6" t="s">
        <v>37</v>
      </c>
      <c r="P4" s="6" t="s">
        <v>8</v>
      </c>
      <c r="Q4" s="6" t="s">
        <v>38</v>
      </c>
    </row>
    <row r="5" spans="1:17">
      <c r="A5">
        <v>0</v>
      </c>
      <c r="B5">
        <v>100</v>
      </c>
      <c r="C5">
        <v>0</v>
      </c>
      <c r="D5">
        <v>89</v>
      </c>
      <c r="E5">
        <v>0.51</v>
      </c>
      <c r="G5">
        <v>0</v>
      </c>
      <c r="H5">
        <v>100</v>
      </c>
      <c r="I5">
        <v>0</v>
      </c>
      <c r="J5">
        <v>74</v>
      </c>
      <c r="K5">
        <v>1.08</v>
      </c>
      <c r="M5">
        <v>0</v>
      </c>
      <c r="N5">
        <v>100</v>
      </c>
      <c r="O5">
        <v>0</v>
      </c>
      <c r="P5">
        <v>89</v>
      </c>
      <c r="Q5">
        <v>0.98</v>
      </c>
    </row>
    <row r="6" spans="1:17">
      <c r="A6">
        <v>1</v>
      </c>
      <c r="B6">
        <v>100</v>
      </c>
      <c r="C6">
        <v>0</v>
      </c>
      <c r="D6">
        <v>89</v>
      </c>
      <c r="E6">
        <v>0.51</v>
      </c>
      <c r="G6">
        <v>1</v>
      </c>
      <c r="H6">
        <v>100</v>
      </c>
      <c r="I6">
        <v>0</v>
      </c>
      <c r="J6">
        <v>74</v>
      </c>
      <c r="K6">
        <v>1.1000000000000001</v>
      </c>
      <c r="M6">
        <v>1</v>
      </c>
      <c r="N6">
        <v>100</v>
      </c>
      <c r="O6">
        <v>0</v>
      </c>
      <c r="P6">
        <v>88</v>
      </c>
      <c r="Q6">
        <v>0.98</v>
      </c>
    </row>
    <row r="7" spans="1:17">
      <c r="A7">
        <v>2</v>
      </c>
      <c r="B7">
        <v>100</v>
      </c>
      <c r="C7">
        <v>0</v>
      </c>
      <c r="D7">
        <v>89</v>
      </c>
      <c r="E7">
        <v>0.51</v>
      </c>
      <c r="G7">
        <v>2</v>
      </c>
      <c r="H7">
        <v>100</v>
      </c>
      <c r="I7">
        <v>0</v>
      </c>
      <c r="J7">
        <v>74</v>
      </c>
      <c r="K7">
        <v>1.1000000000000001</v>
      </c>
      <c r="M7">
        <v>2</v>
      </c>
      <c r="N7">
        <v>100</v>
      </c>
      <c r="O7">
        <v>0</v>
      </c>
      <c r="P7">
        <v>88</v>
      </c>
      <c r="Q7">
        <v>0.98</v>
      </c>
    </row>
    <row r="8" spans="1:17">
      <c r="A8">
        <v>4</v>
      </c>
      <c r="B8">
        <v>95</v>
      </c>
      <c r="C8">
        <v>1.28</v>
      </c>
      <c r="D8">
        <v>88</v>
      </c>
      <c r="E8">
        <v>0.51</v>
      </c>
      <c r="G8">
        <v>4</v>
      </c>
      <c r="H8">
        <v>100</v>
      </c>
      <c r="I8">
        <v>0</v>
      </c>
      <c r="J8">
        <v>74</v>
      </c>
      <c r="K8">
        <v>1.1000000000000001</v>
      </c>
      <c r="M8">
        <v>4</v>
      </c>
      <c r="N8">
        <v>98</v>
      </c>
      <c r="O8">
        <v>1.98</v>
      </c>
      <c r="P8">
        <v>86</v>
      </c>
      <c r="Q8">
        <v>2.12</v>
      </c>
    </row>
    <row r="9" spans="1:17">
      <c r="A9">
        <v>8</v>
      </c>
      <c r="B9">
        <v>90</v>
      </c>
      <c r="C9">
        <v>1.83</v>
      </c>
      <c r="D9">
        <v>88</v>
      </c>
      <c r="E9">
        <v>0.52</v>
      </c>
      <c r="G9">
        <v>8</v>
      </c>
      <c r="H9">
        <v>100</v>
      </c>
      <c r="I9">
        <v>0</v>
      </c>
      <c r="J9">
        <v>74</v>
      </c>
      <c r="K9">
        <v>1.1000000000000001</v>
      </c>
      <c r="M9">
        <v>8</v>
      </c>
      <c r="N9">
        <v>90</v>
      </c>
      <c r="O9">
        <v>4.24</v>
      </c>
      <c r="P9">
        <v>79</v>
      </c>
      <c r="Q9">
        <v>3.99</v>
      </c>
    </row>
    <row r="10" spans="1:17">
      <c r="A10">
        <v>10</v>
      </c>
      <c r="B10">
        <v>88</v>
      </c>
      <c r="C10">
        <v>1.95</v>
      </c>
      <c r="D10">
        <v>87</v>
      </c>
      <c r="E10">
        <v>0.52</v>
      </c>
      <c r="G10">
        <v>10</v>
      </c>
      <c r="H10">
        <v>98</v>
      </c>
      <c r="I10">
        <v>0.88</v>
      </c>
      <c r="J10">
        <v>73</v>
      </c>
      <c r="K10">
        <v>1.3</v>
      </c>
      <c r="M10">
        <v>10</v>
      </c>
      <c r="N10">
        <v>90</v>
      </c>
      <c r="O10">
        <v>4.24</v>
      </c>
      <c r="P10">
        <v>79</v>
      </c>
      <c r="Q10">
        <v>3.95</v>
      </c>
    </row>
    <row r="11" spans="1:17">
      <c r="A11">
        <v>20</v>
      </c>
      <c r="B11">
        <v>77</v>
      </c>
      <c r="C11">
        <v>2.61</v>
      </c>
      <c r="D11">
        <v>85</v>
      </c>
      <c r="E11">
        <v>0.87</v>
      </c>
      <c r="G11">
        <v>20</v>
      </c>
      <c r="H11">
        <v>92</v>
      </c>
      <c r="I11">
        <v>1.71</v>
      </c>
      <c r="J11">
        <v>69</v>
      </c>
      <c r="K11">
        <v>1.7</v>
      </c>
      <c r="M11">
        <v>20</v>
      </c>
      <c r="N11">
        <v>90</v>
      </c>
      <c r="O11">
        <v>4.24</v>
      </c>
      <c r="P11">
        <v>79</v>
      </c>
      <c r="Q11">
        <v>3.96</v>
      </c>
    </row>
  </sheetData>
  <mergeCells count="3">
    <mergeCell ref="A3:E3"/>
    <mergeCell ref="G3:K3"/>
    <mergeCell ref="M3:Q3"/>
  </mergeCells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zoomScale="120" zoomScaleNormal="120" zoomScalePageLayoutView="150" workbookViewId="0"/>
  </sheetViews>
  <sheetFormatPr defaultColWidth="11" defaultRowHeight="15.75"/>
  <cols>
    <col min="1" max="1" width="10.125" customWidth="1"/>
    <col min="2" max="2" width="8.125" bestFit="1" customWidth="1"/>
    <col min="3" max="3" width="9.125" bestFit="1" customWidth="1"/>
    <col min="4" max="4" width="7.5" customWidth="1"/>
    <col min="5" max="5" width="10.375" customWidth="1"/>
    <col min="6" max="6" width="11.875" bestFit="1" customWidth="1"/>
    <col min="7" max="7" width="9.125" bestFit="1" customWidth="1"/>
    <col min="8" max="8" width="7.5" customWidth="1"/>
    <col min="9" max="9" width="10" customWidth="1"/>
    <col min="10" max="10" width="9.875" bestFit="1" customWidth="1"/>
    <col min="11" max="11" width="9.125" bestFit="1" customWidth="1"/>
  </cols>
  <sheetData>
    <row r="1" spans="1:14">
      <c r="A1" t="s">
        <v>46</v>
      </c>
    </row>
    <row r="3" spans="1:14" ht="18.75">
      <c r="A3" s="9" t="s">
        <v>10</v>
      </c>
      <c r="B3" s="9"/>
      <c r="C3" s="9"/>
      <c r="D3" s="9"/>
      <c r="E3" s="9"/>
      <c r="F3" s="9"/>
      <c r="G3" s="9"/>
      <c r="H3" s="9"/>
      <c r="I3" s="9"/>
      <c r="J3" s="9"/>
      <c r="K3" s="9"/>
    </row>
    <row r="5" spans="1:14">
      <c r="A5" s="5" t="s">
        <v>3</v>
      </c>
      <c r="B5" s="5"/>
      <c r="C5" s="5"/>
      <c r="D5" s="2"/>
      <c r="E5" s="5" t="s">
        <v>0</v>
      </c>
      <c r="F5" s="5"/>
      <c r="G5" s="5"/>
      <c r="H5" s="1"/>
      <c r="I5" s="5" t="s">
        <v>4</v>
      </c>
      <c r="J5" s="5"/>
      <c r="K5" s="5"/>
      <c r="N5" s="1"/>
    </row>
    <row r="6" spans="1:14" s="6" customFormat="1" ht="31.5">
      <c r="A6" s="6" t="s">
        <v>11</v>
      </c>
      <c r="B6" s="6" t="s">
        <v>1</v>
      </c>
      <c r="C6" s="6" t="s">
        <v>2</v>
      </c>
      <c r="E6" s="6" t="s">
        <v>11</v>
      </c>
      <c r="F6" s="6" t="s">
        <v>1</v>
      </c>
      <c r="G6" s="6" t="s">
        <v>2</v>
      </c>
      <c r="I6" s="6" t="s">
        <v>11</v>
      </c>
      <c r="J6" s="6" t="s">
        <v>1</v>
      </c>
      <c r="K6" s="6" t="s">
        <v>2</v>
      </c>
    </row>
    <row r="7" spans="1:14">
      <c r="A7">
        <v>1</v>
      </c>
      <c r="B7" s="10">
        <v>100</v>
      </c>
      <c r="C7" s="10">
        <v>90</v>
      </c>
      <c r="E7">
        <v>1</v>
      </c>
      <c r="F7" s="10">
        <v>100</v>
      </c>
      <c r="G7" s="10">
        <v>90</v>
      </c>
      <c r="I7">
        <v>1</v>
      </c>
      <c r="J7" s="10">
        <v>100</v>
      </c>
      <c r="K7" s="10">
        <v>90</v>
      </c>
    </row>
    <row r="8" spans="1:14">
      <c r="A8">
        <v>2</v>
      </c>
      <c r="B8" t="s">
        <v>12</v>
      </c>
      <c r="C8" t="s">
        <v>13</v>
      </c>
      <c r="E8">
        <v>2</v>
      </c>
      <c r="F8" t="s">
        <v>16</v>
      </c>
      <c r="G8" t="s">
        <v>18</v>
      </c>
      <c r="I8">
        <v>2</v>
      </c>
      <c r="J8" t="s">
        <v>20</v>
      </c>
      <c r="K8" t="s">
        <v>13</v>
      </c>
    </row>
    <row r="9" spans="1:14">
      <c r="A9">
        <v>3</v>
      </c>
      <c r="B9" t="s">
        <v>14</v>
      </c>
      <c r="C9" t="s">
        <v>15</v>
      </c>
      <c r="E9">
        <v>3</v>
      </c>
      <c r="F9" t="s">
        <v>17</v>
      </c>
      <c r="G9" t="s">
        <v>19</v>
      </c>
      <c r="I9">
        <v>3</v>
      </c>
      <c r="J9" t="s">
        <v>21</v>
      </c>
      <c r="K9" t="s">
        <v>22</v>
      </c>
    </row>
    <row r="12" spans="1:14" ht="18.75">
      <c r="A12" s="9" t="s">
        <v>23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4" ht="1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4">
      <c r="A14" s="5" t="s">
        <v>3</v>
      </c>
      <c r="B14" s="5"/>
      <c r="C14" s="5"/>
      <c r="E14" s="5" t="s">
        <v>0</v>
      </c>
      <c r="F14" s="5"/>
      <c r="G14" s="5"/>
      <c r="I14" s="5" t="s">
        <v>4</v>
      </c>
      <c r="J14" s="5"/>
      <c r="K14" s="5"/>
    </row>
    <row r="15" spans="1:14" s="6" customFormat="1" ht="47.25">
      <c r="A15" s="6" t="s">
        <v>51</v>
      </c>
      <c r="B15" s="6" t="s">
        <v>1</v>
      </c>
      <c r="C15" s="6" t="s">
        <v>2</v>
      </c>
      <c r="E15" s="6" t="s">
        <v>51</v>
      </c>
      <c r="F15" s="6" t="s">
        <v>1</v>
      </c>
      <c r="G15" s="6" t="s">
        <v>2</v>
      </c>
      <c r="I15" s="6" t="s">
        <v>51</v>
      </c>
      <c r="J15" s="6" t="s">
        <v>1</v>
      </c>
      <c r="K15" s="6" t="s">
        <v>2</v>
      </c>
    </row>
    <row r="16" spans="1:14">
      <c r="A16">
        <v>60</v>
      </c>
      <c r="B16">
        <v>25</v>
      </c>
      <c r="C16">
        <v>22</v>
      </c>
      <c r="E16">
        <v>60</v>
      </c>
      <c r="F16">
        <v>100</v>
      </c>
      <c r="G16">
        <v>64</v>
      </c>
      <c r="I16">
        <v>60</v>
      </c>
      <c r="J16">
        <v>100</v>
      </c>
      <c r="K16">
        <v>60</v>
      </c>
    </row>
    <row r="17" spans="1:11">
      <c r="A17">
        <v>120</v>
      </c>
      <c r="B17">
        <v>47</v>
      </c>
      <c r="C17">
        <v>47</v>
      </c>
      <c r="E17">
        <v>120</v>
      </c>
      <c r="F17">
        <v>100</v>
      </c>
      <c r="G17">
        <v>63</v>
      </c>
      <c r="I17">
        <v>120</v>
      </c>
      <c r="J17">
        <v>100</v>
      </c>
      <c r="K17">
        <v>70</v>
      </c>
    </row>
    <row r="18" spans="1:11">
      <c r="A18">
        <v>240</v>
      </c>
      <c r="B18">
        <v>49</v>
      </c>
      <c r="C18">
        <v>47</v>
      </c>
      <c r="E18">
        <v>240</v>
      </c>
      <c r="F18">
        <v>100</v>
      </c>
      <c r="G18">
        <v>63</v>
      </c>
      <c r="I18">
        <v>240</v>
      </c>
      <c r="J18">
        <v>100</v>
      </c>
      <c r="K18">
        <v>71</v>
      </c>
    </row>
    <row r="19" spans="1:11">
      <c r="A19">
        <v>480</v>
      </c>
      <c r="B19">
        <v>97</v>
      </c>
      <c r="C19">
        <v>95</v>
      </c>
      <c r="E19">
        <v>480</v>
      </c>
      <c r="F19">
        <v>100</v>
      </c>
      <c r="G19">
        <v>60</v>
      </c>
      <c r="I19">
        <v>480</v>
      </c>
      <c r="J19">
        <v>100</v>
      </c>
      <c r="K19">
        <v>80</v>
      </c>
    </row>
    <row r="20" spans="1:11">
      <c r="A20">
        <v>720</v>
      </c>
      <c r="B20">
        <v>97</v>
      </c>
      <c r="C20">
        <v>95</v>
      </c>
      <c r="E20">
        <v>720</v>
      </c>
      <c r="F20">
        <v>100</v>
      </c>
      <c r="G20">
        <v>58</v>
      </c>
      <c r="I20">
        <v>720</v>
      </c>
      <c r="J20">
        <v>100</v>
      </c>
      <c r="K20">
        <v>80</v>
      </c>
    </row>
  </sheetData>
  <mergeCells count="8">
    <mergeCell ref="A3:K3"/>
    <mergeCell ref="A12:K12"/>
    <mergeCell ref="A14:C14"/>
    <mergeCell ref="E14:G14"/>
    <mergeCell ref="I14:K14"/>
    <mergeCell ref="E5:G5"/>
    <mergeCell ref="A5:C5"/>
    <mergeCell ref="I5:K5"/>
  </mergeCells>
  <pageMargins left="0.75" right="0.75" top="1" bottom="1" header="0.5" footer="0.5"/>
  <pageSetup orientation="portrait" horizontalDpi="4294967292" verticalDpi="4294967292"/>
  <ignoredErrors>
    <ignoredError sqref="B9" twoDigitTextYear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zoomScale="120" zoomScaleNormal="120" zoomScalePageLayoutView="150" workbookViewId="0"/>
  </sheetViews>
  <sheetFormatPr defaultColWidth="11" defaultRowHeight="15.75"/>
  <cols>
    <col min="1" max="1" width="7.125" customWidth="1"/>
    <col min="2" max="2" width="8.125" bestFit="1" customWidth="1"/>
    <col min="3" max="3" width="9.125" bestFit="1" customWidth="1"/>
    <col min="4" max="4" width="7.5" customWidth="1"/>
    <col min="5" max="5" width="7.25" customWidth="1"/>
    <col min="6" max="6" width="8.125" bestFit="1" customWidth="1"/>
    <col min="7" max="7" width="10" customWidth="1"/>
    <col min="8" max="8" width="7.5" customWidth="1"/>
    <col min="9" max="9" width="7.375" customWidth="1"/>
    <col min="10" max="10" width="8.125" bestFit="1" customWidth="1"/>
    <col min="11" max="11" width="9.375" customWidth="1"/>
  </cols>
  <sheetData>
    <row r="1" spans="1:11">
      <c r="A1" t="s">
        <v>45</v>
      </c>
    </row>
    <row r="3" spans="1:11">
      <c r="A3" s="5" t="s">
        <v>3</v>
      </c>
      <c r="B3" s="5"/>
      <c r="C3" s="5"/>
      <c r="D3" s="2"/>
      <c r="E3" s="5" t="s">
        <v>0</v>
      </c>
      <c r="F3" s="5"/>
      <c r="G3" s="5"/>
      <c r="H3" s="1"/>
      <c r="I3" s="5" t="s">
        <v>4</v>
      </c>
      <c r="J3" s="5"/>
      <c r="K3" s="5"/>
    </row>
    <row r="4" spans="1:11" s="6" customFormat="1" ht="47.25">
      <c r="A4" s="6" t="s">
        <v>24</v>
      </c>
      <c r="B4" s="6" t="s">
        <v>1</v>
      </c>
      <c r="C4" s="6" t="s">
        <v>2</v>
      </c>
      <c r="E4" s="6" t="s">
        <v>24</v>
      </c>
      <c r="F4" s="6" t="s">
        <v>1</v>
      </c>
      <c r="G4" s="6" t="s">
        <v>2</v>
      </c>
      <c r="I4" s="6" t="s">
        <v>24</v>
      </c>
      <c r="J4" s="6" t="s">
        <v>1</v>
      </c>
      <c r="K4" s="6" t="s">
        <v>2</v>
      </c>
    </row>
    <row r="5" spans="1:11">
      <c r="A5">
        <v>1</v>
      </c>
      <c r="B5">
        <v>1</v>
      </c>
      <c r="C5">
        <v>35</v>
      </c>
      <c r="E5">
        <v>1</v>
      </c>
      <c r="F5">
        <v>20</v>
      </c>
      <c r="G5">
        <v>15</v>
      </c>
      <c r="I5">
        <v>1</v>
      </c>
      <c r="J5">
        <v>20</v>
      </c>
      <c r="K5">
        <v>40</v>
      </c>
    </row>
    <row r="6" spans="1:11">
      <c r="A6">
        <v>2</v>
      </c>
      <c r="B6">
        <v>1</v>
      </c>
      <c r="C6">
        <v>52</v>
      </c>
      <c r="E6">
        <v>2</v>
      </c>
      <c r="F6">
        <v>40</v>
      </c>
      <c r="G6">
        <v>30</v>
      </c>
      <c r="I6">
        <v>2</v>
      </c>
      <c r="J6">
        <v>28</v>
      </c>
      <c r="K6">
        <v>54</v>
      </c>
    </row>
    <row r="7" spans="1:11">
      <c r="A7">
        <v>4</v>
      </c>
      <c r="B7">
        <v>44</v>
      </c>
      <c r="C7">
        <v>72</v>
      </c>
      <c r="E7">
        <v>4</v>
      </c>
      <c r="F7">
        <v>80</v>
      </c>
      <c r="G7">
        <v>64</v>
      </c>
      <c r="I7">
        <v>4</v>
      </c>
      <c r="J7">
        <v>72</v>
      </c>
      <c r="K7">
        <v>72</v>
      </c>
    </row>
    <row r="8" spans="1:11">
      <c r="A8">
        <v>8</v>
      </c>
      <c r="B8">
        <v>100</v>
      </c>
      <c r="C8">
        <v>90</v>
      </c>
      <c r="E8">
        <v>8</v>
      </c>
      <c r="F8">
        <v>100</v>
      </c>
      <c r="G8">
        <v>75</v>
      </c>
      <c r="I8">
        <v>8</v>
      </c>
      <c r="J8">
        <v>100</v>
      </c>
      <c r="K8">
        <v>90</v>
      </c>
    </row>
    <row r="9" spans="1:11">
      <c r="A9">
        <v>16</v>
      </c>
      <c r="B9">
        <v>100</v>
      </c>
      <c r="C9">
        <v>90</v>
      </c>
      <c r="E9">
        <v>16</v>
      </c>
      <c r="F9">
        <v>100</v>
      </c>
      <c r="G9">
        <v>78</v>
      </c>
      <c r="I9">
        <v>16</v>
      </c>
      <c r="J9">
        <v>100</v>
      </c>
      <c r="K9">
        <v>90</v>
      </c>
    </row>
    <row r="10" spans="1:11">
      <c r="A10">
        <v>24</v>
      </c>
      <c r="B10">
        <v>100</v>
      </c>
      <c r="C10">
        <v>90</v>
      </c>
      <c r="E10">
        <v>24</v>
      </c>
      <c r="F10">
        <v>100</v>
      </c>
      <c r="G10">
        <v>80</v>
      </c>
      <c r="I10">
        <v>24</v>
      </c>
      <c r="J10">
        <v>100</v>
      </c>
      <c r="K10">
        <v>90</v>
      </c>
    </row>
  </sheetData>
  <mergeCells count="3">
    <mergeCell ref="A3:C3"/>
    <mergeCell ref="E3:G3"/>
    <mergeCell ref="I3:K3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zoomScale="120" zoomScaleNormal="120" zoomScalePageLayoutView="150" workbookViewId="0"/>
  </sheetViews>
  <sheetFormatPr defaultColWidth="11" defaultRowHeight="15.75"/>
  <cols>
    <col min="1" max="1" width="15.125" bestFit="1" customWidth="1"/>
    <col min="2" max="2" width="11.875" bestFit="1" customWidth="1"/>
    <col min="3" max="3" width="14.625" customWidth="1"/>
    <col min="4" max="4" width="9.125" bestFit="1" customWidth="1"/>
    <col min="5" max="5" width="7.5" customWidth="1"/>
    <col min="6" max="6" width="14.625" bestFit="1" customWidth="1"/>
    <col min="7" max="7" width="11.875" bestFit="1" customWidth="1"/>
    <col min="8" max="8" width="14.625" customWidth="1"/>
    <col min="9" max="9" width="9.125" bestFit="1" customWidth="1"/>
    <col min="10" max="10" width="7.5" customWidth="1"/>
    <col min="11" max="11" width="14.625" bestFit="1" customWidth="1"/>
    <col min="12" max="12" width="11.875" bestFit="1" customWidth="1"/>
    <col min="13" max="13" width="14.625" customWidth="1"/>
    <col min="14" max="14" width="9.125" bestFit="1" customWidth="1"/>
  </cols>
  <sheetData>
    <row r="1" spans="1:14">
      <c r="A1" t="s">
        <v>35</v>
      </c>
    </row>
    <row r="3" spans="1:14">
      <c r="A3" s="5" t="s">
        <v>3</v>
      </c>
      <c r="B3" s="5"/>
      <c r="C3" s="5"/>
      <c r="D3" s="5"/>
      <c r="F3" s="5" t="s">
        <v>0</v>
      </c>
      <c r="G3" s="5"/>
      <c r="H3" s="5"/>
      <c r="I3" s="5"/>
      <c r="K3" s="5" t="s">
        <v>32</v>
      </c>
      <c r="L3" s="5"/>
      <c r="M3" s="5"/>
      <c r="N3" s="5"/>
    </row>
    <row r="4" spans="1:14" s="6" customFormat="1" ht="90.75">
      <c r="A4" s="6" t="s">
        <v>39</v>
      </c>
      <c r="B4" s="6" t="s">
        <v>8</v>
      </c>
      <c r="C4" s="7" t="s">
        <v>36</v>
      </c>
      <c r="D4" s="6" t="s">
        <v>38</v>
      </c>
      <c r="F4" s="6" t="s">
        <v>39</v>
      </c>
      <c r="G4" s="6" t="s">
        <v>8</v>
      </c>
      <c r="H4" s="7" t="s">
        <v>36</v>
      </c>
      <c r="I4" s="6" t="s">
        <v>38</v>
      </c>
      <c r="K4" s="6" t="s">
        <v>39</v>
      </c>
      <c r="L4" s="6" t="s">
        <v>8</v>
      </c>
      <c r="M4" s="7" t="s">
        <v>36</v>
      </c>
      <c r="N4" s="6" t="s">
        <v>38</v>
      </c>
    </row>
    <row r="5" spans="1:14">
      <c r="A5" t="s">
        <v>29</v>
      </c>
      <c r="B5">
        <f>(97-C5)*100/97</f>
        <v>69.072164948453604</v>
      </c>
      <c r="C5">
        <v>30</v>
      </c>
      <c r="D5">
        <v>5.26</v>
      </c>
      <c r="F5" t="s">
        <v>29</v>
      </c>
      <c r="G5">
        <f>(97-H5)*100/97</f>
        <v>64.948453608247419</v>
      </c>
      <c r="H5">
        <v>34</v>
      </c>
      <c r="I5">
        <v>5.87</v>
      </c>
      <c r="K5" t="s">
        <v>29</v>
      </c>
      <c r="L5">
        <f>(97-M5)*100/97</f>
        <v>69.072164948453604</v>
      </c>
      <c r="M5">
        <v>30</v>
      </c>
      <c r="N5">
        <v>5.19</v>
      </c>
    </row>
    <row r="6" spans="1:14">
      <c r="A6" t="s">
        <v>30</v>
      </c>
      <c r="B6">
        <f>(3358-C6)*100/3358</f>
        <v>99.04705181655747</v>
      </c>
      <c r="C6">
        <v>32</v>
      </c>
      <c r="D6">
        <v>0.13</v>
      </c>
      <c r="F6" t="s">
        <v>30</v>
      </c>
      <c r="G6">
        <f>(3358-H6)*100/3358</f>
        <v>96.932698034544373</v>
      </c>
      <c r="H6">
        <v>103</v>
      </c>
      <c r="I6">
        <v>0.36</v>
      </c>
      <c r="K6" t="s">
        <v>30</v>
      </c>
      <c r="L6">
        <f>(3358-M6)*100/3358</f>
        <v>99.106611078022638</v>
      </c>
      <c r="M6">
        <v>30</v>
      </c>
      <c r="N6">
        <v>0.09</v>
      </c>
    </row>
    <row r="7" spans="1:14">
      <c r="A7" t="s">
        <v>31</v>
      </c>
      <c r="B7">
        <f>(12523-C7)*100/12523</f>
        <v>99.640661183422509</v>
      </c>
      <c r="C7">
        <v>45</v>
      </c>
      <c r="D7">
        <v>0.01</v>
      </c>
      <c r="F7" t="s">
        <v>31</v>
      </c>
      <c r="G7">
        <f>(12523-H7)*100/12523</f>
        <v>98.291144294498125</v>
      </c>
      <c r="H7">
        <v>214</v>
      </c>
      <c r="I7">
        <v>0.01</v>
      </c>
      <c r="K7" t="s">
        <v>31</v>
      </c>
      <c r="L7">
        <f>(12523-M7)*100/12523</f>
        <v>99.744470174878231</v>
      </c>
      <c r="M7">
        <v>32</v>
      </c>
      <c r="N7">
        <v>0.01</v>
      </c>
    </row>
    <row r="10" spans="1:14">
      <c r="A10" s="3" t="s">
        <v>28</v>
      </c>
    </row>
  </sheetData>
  <mergeCells count="3">
    <mergeCell ref="A3:D3"/>
    <mergeCell ref="F3:I3"/>
    <mergeCell ref="K3:N3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zoomScale="120" zoomScaleNormal="120" zoomScalePageLayoutView="150" workbookViewId="0"/>
  </sheetViews>
  <sheetFormatPr defaultColWidth="11" defaultRowHeight="15.75"/>
  <cols>
    <col min="1" max="1" width="7" customWidth="1"/>
    <col min="2" max="2" width="9.625" customWidth="1"/>
    <col min="3" max="3" width="10" customWidth="1"/>
    <col min="4" max="4" width="7.5" customWidth="1"/>
    <col min="5" max="5" width="7" customWidth="1"/>
    <col min="6" max="6" width="9.125" customWidth="1"/>
    <col min="7" max="7" width="9.375" customWidth="1"/>
    <col min="8" max="9" width="7.5" customWidth="1"/>
    <col min="10" max="10" width="8.875" customWidth="1"/>
    <col min="11" max="11" width="9.375" customWidth="1"/>
    <col min="14" max="14" width="24.625" bestFit="1" customWidth="1"/>
  </cols>
  <sheetData>
    <row r="1" spans="1:11">
      <c r="A1" t="s">
        <v>49</v>
      </c>
    </row>
    <row r="2" spans="1:11" ht="18.75">
      <c r="A2" s="9" t="s">
        <v>26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1">
      <c r="A4" s="5" t="s">
        <v>3</v>
      </c>
      <c r="B4" s="5"/>
      <c r="C4" s="5"/>
      <c r="E4" s="5" t="s">
        <v>0</v>
      </c>
      <c r="F4" s="5"/>
      <c r="G4" s="5"/>
      <c r="I4" s="5" t="s">
        <v>32</v>
      </c>
      <c r="J4" s="5"/>
      <c r="K4" s="5"/>
    </row>
    <row r="5" spans="1:11" s="6" customFormat="1" ht="47.25">
      <c r="A5" s="6" t="s">
        <v>25</v>
      </c>
      <c r="B5" s="6" t="s">
        <v>8</v>
      </c>
      <c r="C5" s="6" t="s">
        <v>38</v>
      </c>
      <c r="E5" s="6" t="s">
        <v>25</v>
      </c>
      <c r="F5" s="6" t="s">
        <v>8</v>
      </c>
      <c r="G5" s="6" t="s">
        <v>38</v>
      </c>
      <c r="I5" s="6" t="s">
        <v>25</v>
      </c>
      <c r="J5" s="6" t="s">
        <v>8</v>
      </c>
      <c r="K5" s="6" t="s">
        <v>38</v>
      </c>
    </row>
    <row r="6" spans="1:11">
      <c r="A6">
        <v>2</v>
      </c>
      <c r="B6">
        <v>58</v>
      </c>
      <c r="C6">
        <v>5.76</v>
      </c>
      <c r="E6">
        <v>2</v>
      </c>
      <c r="F6">
        <v>48</v>
      </c>
      <c r="G6">
        <v>8.26</v>
      </c>
      <c r="I6">
        <v>2</v>
      </c>
      <c r="J6">
        <v>75</v>
      </c>
      <c r="K6">
        <v>10.77</v>
      </c>
    </row>
    <row r="7" spans="1:11">
      <c r="A7">
        <v>4</v>
      </c>
      <c r="B7">
        <v>76</v>
      </c>
      <c r="C7">
        <v>6.74</v>
      </c>
      <c r="E7">
        <v>4</v>
      </c>
      <c r="F7">
        <v>69</v>
      </c>
      <c r="G7">
        <v>7.73</v>
      </c>
      <c r="I7">
        <v>4</v>
      </c>
      <c r="J7">
        <v>94</v>
      </c>
      <c r="K7">
        <v>1.62</v>
      </c>
    </row>
    <row r="8" spans="1:11">
      <c r="A8">
        <v>6</v>
      </c>
      <c r="B8">
        <v>88</v>
      </c>
      <c r="C8">
        <v>3.77</v>
      </c>
      <c r="E8">
        <v>6</v>
      </c>
      <c r="F8">
        <v>74</v>
      </c>
      <c r="G8">
        <v>8.91</v>
      </c>
      <c r="I8">
        <v>6</v>
      </c>
      <c r="J8">
        <v>96</v>
      </c>
      <c r="K8">
        <v>1.42</v>
      </c>
    </row>
    <row r="9" spans="1:11">
      <c r="A9">
        <v>10</v>
      </c>
      <c r="B9">
        <v>89</v>
      </c>
      <c r="C9">
        <v>3.28</v>
      </c>
      <c r="E9">
        <v>10</v>
      </c>
      <c r="F9">
        <v>78</v>
      </c>
      <c r="G9">
        <v>6.52</v>
      </c>
      <c r="I9">
        <v>10</v>
      </c>
      <c r="J9">
        <v>96</v>
      </c>
      <c r="K9">
        <v>1.32</v>
      </c>
    </row>
    <row r="10" spans="1:11">
      <c r="A10">
        <v>20</v>
      </c>
      <c r="B10">
        <v>95</v>
      </c>
      <c r="C10">
        <v>1.83</v>
      </c>
      <c r="E10">
        <v>20</v>
      </c>
      <c r="F10">
        <v>87</v>
      </c>
      <c r="G10">
        <v>4.42</v>
      </c>
      <c r="I10">
        <v>20</v>
      </c>
      <c r="J10">
        <v>96</v>
      </c>
      <c r="K10">
        <v>0.89</v>
      </c>
    </row>
    <row r="13" spans="1:11" ht="18.75">
      <c r="A13" s="9" t="s">
        <v>27</v>
      </c>
      <c r="B13" s="9"/>
      <c r="C13" s="9"/>
      <c r="D13" s="9"/>
      <c r="E13" s="9"/>
      <c r="F13" s="9"/>
      <c r="G13" s="9"/>
      <c r="H13" s="9"/>
      <c r="I13" s="9"/>
      <c r="J13" s="9"/>
      <c r="K13" s="9"/>
    </row>
    <row r="15" spans="1:11">
      <c r="A15" s="5" t="s">
        <v>3</v>
      </c>
      <c r="B15" s="5"/>
      <c r="C15" s="5"/>
      <c r="E15" s="5" t="s">
        <v>0</v>
      </c>
      <c r="F15" s="5"/>
      <c r="G15" s="5"/>
      <c r="I15" s="5" t="s">
        <v>32</v>
      </c>
      <c r="J15" s="5"/>
      <c r="K15" s="5"/>
    </row>
    <row r="16" spans="1:11" s="6" customFormat="1" ht="47.25">
      <c r="A16" s="6" t="s">
        <v>25</v>
      </c>
      <c r="B16" s="6" t="s">
        <v>8</v>
      </c>
      <c r="C16" s="6" t="s">
        <v>38</v>
      </c>
      <c r="E16" s="6" t="s">
        <v>25</v>
      </c>
      <c r="F16" s="6" t="s">
        <v>8</v>
      </c>
      <c r="G16" s="6" t="s">
        <v>38</v>
      </c>
      <c r="I16" s="6" t="s">
        <v>25</v>
      </c>
      <c r="J16" s="6" t="s">
        <v>8</v>
      </c>
      <c r="K16" s="6" t="s">
        <v>38</v>
      </c>
    </row>
    <row r="17" spans="1:11">
      <c r="A17">
        <v>2</v>
      </c>
      <c r="B17">
        <v>65</v>
      </c>
      <c r="C17">
        <v>0.67</v>
      </c>
      <c r="E17">
        <v>2</v>
      </c>
      <c r="F17">
        <v>64</v>
      </c>
      <c r="G17">
        <v>2.1</v>
      </c>
      <c r="I17">
        <v>2</v>
      </c>
      <c r="J17">
        <v>88</v>
      </c>
      <c r="K17">
        <v>1.7</v>
      </c>
    </row>
    <row r="18" spans="1:11">
      <c r="A18">
        <v>4</v>
      </c>
      <c r="B18">
        <v>87</v>
      </c>
      <c r="C18">
        <v>0.99</v>
      </c>
      <c r="E18">
        <v>4</v>
      </c>
      <c r="F18">
        <v>70</v>
      </c>
      <c r="G18">
        <v>2.2999999999999998</v>
      </c>
      <c r="I18">
        <v>4</v>
      </c>
      <c r="J18">
        <v>90</v>
      </c>
      <c r="K18">
        <v>0.35</v>
      </c>
    </row>
    <row r="19" spans="1:11">
      <c r="A19">
        <v>6</v>
      </c>
      <c r="B19">
        <v>88</v>
      </c>
      <c r="C19">
        <v>0.13</v>
      </c>
      <c r="E19">
        <v>6</v>
      </c>
      <c r="F19">
        <v>71</v>
      </c>
      <c r="G19">
        <v>1.86</v>
      </c>
      <c r="I19">
        <v>6</v>
      </c>
      <c r="J19">
        <v>90</v>
      </c>
      <c r="K19">
        <v>0.26</v>
      </c>
    </row>
    <row r="20" spans="1:11">
      <c r="A20">
        <v>10</v>
      </c>
      <c r="B20">
        <v>90</v>
      </c>
      <c r="C20">
        <v>0.12</v>
      </c>
      <c r="E20">
        <v>10</v>
      </c>
      <c r="F20">
        <v>73</v>
      </c>
      <c r="G20">
        <v>2.59</v>
      </c>
      <c r="I20">
        <v>10</v>
      </c>
      <c r="J20">
        <v>91</v>
      </c>
      <c r="K20">
        <v>0.13</v>
      </c>
    </row>
    <row r="21" spans="1:11">
      <c r="A21">
        <v>20</v>
      </c>
      <c r="B21">
        <v>91</v>
      </c>
      <c r="C21">
        <v>0.13</v>
      </c>
      <c r="E21">
        <v>20</v>
      </c>
      <c r="F21">
        <v>81</v>
      </c>
      <c r="G21">
        <v>0.35</v>
      </c>
      <c r="I21">
        <v>20</v>
      </c>
      <c r="J21">
        <v>91</v>
      </c>
      <c r="K21">
        <v>0.13</v>
      </c>
    </row>
    <row r="24" spans="1:11">
      <c r="A24" s="3" t="s">
        <v>28</v>
      </c>
    </row>
  </sheetData>
  <mergeCells count="8">
    <mergeCell ref="A2:K2"/>
    <mergeCell ref="A13:K13"/>
    <mergeCell ref="A15:C15"/>
    <mergeCell ref="E15:G15"/>
    <mergeCell ref="I15:K15"/>
    <mergeCell ref="A4:C4"/>
    <mergeCell ref="E4:G4"/>
    <mergeCell ref="I4:K4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Measurement Error</vt:lpstr>
      <vt:lpstr>Modeling Error</vt:lpstr>
      <vt:lpstr>Injection Characteristics</vt:lpstr>
      <vt:lpstr>Time Horizon</vt:lpstr>
      <vt:lpstr>Network Size</vt:lpstr>
      <vt:lpstr>Sensor Placement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2016-06-13T19:32:12Z</dcterms:created>
  <dcterms:modified xsi:type="dcterms:W3CDTF">2016-07-28T21:54:57Z</dcterms:modified>
</cp:coreProperties>
</file>